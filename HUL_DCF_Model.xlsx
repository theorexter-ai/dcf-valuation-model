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Historicals" sheetId="2" state="visible" r:id="rId4"/>
    <sheet name="Assumptions" sheetId="3" state="visible" r:id="rId5"/>
    <sheet name="FCFF Build" sheetId="4" state="visible" r:id="rId6"/>
    <sheet name="DCF Valuation" sheetId="5" state="visible" r:id="rId7"/>
    <sheet name="Sensitivity" sheetId="6" state="visible" r:id="rId8"/>
    <sheet name="Comps Cross-Check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<sst xmlns="http://schemas.openxmlformats.org/spreadsheetml/2006/main" count="185" uniqueCount="174">
  <si>
    <t xml:space="preserve">HUL DCF Valuation Model</t>
  </si>
  <si>
    <t xml:space="preserve">Purpose: Standalone DCF for Hindustan Unilever Ltd (HINDUNILVR), built for CV/internship project use.</t>
  </si>
  <si>
    <t xml:space="preserve">Tabs:</t>
  </si>
  <si>
    <t xml:space="preserve">  1. Historicals - 3-yr actuals (FY24-FY26), sourced from Screener.in</t>
  </si>
  <si>
    <t xml:space="preserve">  2. Assumptions - WACC build, growth, margin, tax, capex/D&amp;A, working capital</t>
  </si>
  <si>
    <t xml:space="preserve">  3. FCFF Build - 5-year explicit forecast (FY27E-FY31E)</t>
  </si>
  <si>
    <t xml:space="preserve">  4. DCF Valuation - PV of FCFF + terminal value, bridge to equity value/share</t>
  </si>
  <si>
    <t xml:space="preserve">  5. Sensitivity - WACC x terminal growth grid on value/share</t>
  </si>
  <si>
    <t xml:space="preserve">  6. Comps Cross-Check - EV/EBITDA &amp; P/E vs FMCG peers, implied share price sanity check</t>
  </si>
  <si>
    <t xml:space="preserve">Known data caveats (read before using in an interview):</t>
  </si>
  <si>
    <t xml:space="preserve">  - FY26 Net Profit/PBT is inflated by a one-off Other Income spike (~Rs 4,923 Cr,</t>
  </si>
  <si>
    <t xml:space="preserve">    concentrated in Dec-2025 quarter). DCF uses Operating Profit (EBIT), which excludes</t>
  </si>
  <si>
    <t xml:space="preserve">    this, as the base, so this does not distort the FCFF build.</t>
  </si>
  <si>
    <t xml:space="preserve">  - FY26 effective tax rate (17%) is also anomalous (same event). Model uses a normalized</t>
  </si>
  <si>
    <t xml:space="preserve">    25.5% tax rate for all projected years.</t>
  </si>
  <si>
    <t xml:space="preserve">  - Beta estimates vary 0.27-0.80 across data providers depending on lookback/frequency.</t>
  </si>
  <si>
    <t xml:space="preserve">    This model uses ~0.32, the figure consistent across two independent live sources</t>
  </si>
  <si>
    <t xml:space="preserve">    (Yahoo Finance, Investing.com, both 5Y monthly). Documented in Assumptions tab.</t>
  </si>
  <si>
    <t xml:space="preserve">  - Working capital % of sales is approximated top-down from Screener's reported</t>
  </si>
  <si>
    <t xml:space="preserve">    'Working Capital Days' ratio (~-26 days avg, FY24-26), not rebuilt bottom-up from</t>
  </si>
  <si>
    <t xml:space="preserve">    receivables/inventory/payables. Third-party sources disagree materially on</t>
  </si>
  <si>
    <t xml:space="preserve">    HUL's component-level days (Days Payable alone is quoted anywhere from ~130 to</t>
  </si>
  <si>
    <t xml:space="preserve">    ~150 days depending on provider/methodology), so a bottom-up rebuild would trade</t>
  </si>
  <si>
    <t xml:space="preserve">    one soft number for three.</t>
  </si>
  <si>
    <t xml:space="preserve">  - Equity Risk Premium (7.0%) and Cost of Debt (7.5%) are standard textbook/market</t>
  </si>
  <si>
    <t xml:space="preserve">    convention assumptions, not pulled from a specific live source.</t>
  </si>
  <si>
    <t xml:space="preserve">Valuation gap (DCF ~Rs 1,088/share vs CMP ~Rs 2,170/share, ~50% downside):</t>
  </si>
  <si>
    <t xml:space="preserve">  This is expected, not an error. The Comps Cross-Check tab shows peer EV/EBITDA</t>
  </si>
  <si>
    <t xml:space="preserve">  multiples imply ~Rs 2,100-2,150/share, much closer to market. A WACC/terminal-growth</t>
  </si>
  <si>
    <t xml:space="preserve">  DCF is conservative relative to how the market prices HUL's brand moat and cash-flow</t>
  </si>
  <si>
    <t xml:space="preserve">  stability, while peer multiples capture that premium directly.</t>
  </si>
  <si>
    <t xml:space="preserve">HUL - Historical Financials (Consolidated, Rs Cr)</t>
  </si>
  <si>
    <t xml:space="preserve">Source: Screener.in (screener.in/company/HINDUNILVR/consolidated), pulled 18-Jul-2026</t>
  </si>
  <si>
    <t xml:space="preserve">Metric</t>
  </si>
  <si>
    <t xml:space="preserve">FY24 (Mar-24)</t>
  </si>
  <si>
    <t xml:space="preserve">FY25 (Mar-25)</t>
  </si>
  <si>
    <t xml:space="preserve">FY26 (Mar-26)</t>
  </si>
  <si>
    <t xml:space="preserve">Sales</t>
  </si>
  <si>
    <t xml:space="preserve">Operating Profit (EBIT)</t>
  </si>
  <si>
    <t xml:space="preserve">OPM %</t>
  </si>
  <si>
    <t xml:space="preserve">Other Income</t>
  </si>
  <si>
    <t xml:space="preserve">Depreciation</t>
  </si>
  <si>
    <t xml:space="preserve">Interest Expense</t>
  </si>
  <si>
    <t xml:space="preserve">Profit Before Tax</t>
  </si>
  <si>
    <t xml:space="preserve">Effective Tax %</t>
  </si>
  <si>
    <t xml:space="preserve">Net Profit</t>
  </si>
  <si>
    <t xml:space="preserve">EPS (Rs)</t>
  </si>
  <si>
    <t xml:space="preserve">Cash from Operations (CFO)</t>
  </si>
  <si>
    <t xml:space="preserve">Free Cash Flow (as reported)</t>
  </si>
  <si>
    <t xml:space="preserve">Borrowings</t>
  </si>
  <si>
    <t xml:space="preserve">Investments (cash-equiv proxy)</t>
  </si>
  <si>
    <t xml:space="preserve">Equity Capital (Rs Cr)</t>
  </si>
  <si>
    <t xml:space="preserve">HUL - DCF Assumptions</t>
  </si>
  <si>
    <t xml:space="preserve">WACC Build</t>
  </si>
  <si>
    <t xml:space="preserve">Risk-free rate (India 10Y G-Sec)</t>
  </si>
  <si>
    <t xml:space="preserve">Source: tradingeconomics.com/macromicro.me, ~6.9-7.1% as of Jul-2026</t>
  </si>
  <si>
    <t xml:space="preserve">Equity Risk Premium (India)</t>
  </si>
  <si>
    <t xml:space="preserve">Standard market-convention assumption, not a live pull</t>
  </si>
  <si>
    <t xml:space="preserve">Beta (5Y monthly)</t>
  </si>
  <si>
    <t xml:space="preserve">Yahoo Finance &amp; Investing.com both ~0.27-0.32 (5Y monthly); GuruFocus's 0.80 excluded as methodology outlier</t>
  </si>
  <si>
    <t xml:space="preserve">Cost of Equity (Ke)</t>
  </si>
  <si>
    <t xml:space="preserve">Risk-free + Beta x ERP</t>
  </si>
  <si>
    <t xml:space="preserve">Pre-tax Cost of Debt (Kd)</t>
  </si>
  <si>
    <t xml:space="preserve">Estimate - HUL is near debt-free (BSE/CRISIL rating not directly pulled); minimal WACC impact</t>
  </si>
  <si>
    <t xml:space="preserve">Normalized Tax Rate</t>
  </si>
  <si>
    <t xml:space="preserve">Normalized (excludes FY26 17% anomaly)</t>
  </si>
  <si>
    <t xml:space="preserve">Market Cap (Rs Cr)</t>
  </si>
  <si>
    <t xml:space="preserve">Source: Screener.in, 18-Jul-2026</t>
  </si>
  <si>
    <t xml:space="preserve">Total Debt / Borrowings (Rs Cr)</t>
  </si>
  <si>
    <t xml:space="preserve">FY26 Borrowings, Source: Screener.in</t>
  </si>
  <si>
    <t xml:space="preserve">Weight of Equity</t>
  </si>
  <si>
    <t xml:space="preserve">MktCap/(MktCap+Debt)</t>
  </si>
  <si>
    <t xml:space="preserve">Weight of Debt</t>
  </si>
  <si>
    <t xml:space="preserve">Debt/(MktCap+Debt)</t>
  </si>
  <si>
    <t xml:space="preserve">WACC</t>
  </si>
  <si>
    <t xml:space="preserve">We*Ke + Wd*Kd*(1-Tax)</t>
  </si>
  <si>
    <t xml:space="preserve">Revenue Growth &amp; Operating Assumptions</t>
  </si>
  <si>
    <t xml:space="preserve">Revenue Growth - Year 1 (FY27E)</t>
  </si>
  <si>
    <t xml:space="preserve">Fades from historical 5Y CAGR (7%) toward terminal rate</t>
  </si>
  <si>
    <t xml:space="preserve">Revenue Growth - Year 2 (FY28E)</t>
  </si>
  <si>
    <t xml:space="preserve">Revenue Growth - Year 3 (FY29E)</t>
  </si>
  <si>
    <t xml:space="preserve">Revenue Growth - Year 4 (FY30E)</t>
  </si>
  <si>
    <t xml:space="preserve">Revenue Growth - Year 5 (FY31E)</t>
  </si>
  <si>
    <t xml:space="preserve">Converges near terminal growth</t>
  </si>
  <si>
    <t xml:space="preserve">Terminal Growth Rate (g)</t>
  </si>
  <si>
    <t xml:space="preserve">Capped near India long-run nominal GDP growth proxy</t>
  </si>
  <si>
    <t xml:space="preserve">EBIT Margin (all fcst years)</t>
  </si>
  <si>
    <t xml:space="preserve">In line with 3Y historical range of 23-24% (Screener.in)</t>
  </si>
  <si>
    <t xml:space="preserve">D&amp;A % of Sales</t>
  </si>
  <si>
    <t xml:space="preserve">FY26 actual: 1,333/64,468 = 2.07%</t>
  </si>
  <si>
    <t xml:space="preserve">Capex % of Sales</t>
  </si>
  <si>
    <t xml:space="preserve">Slightly above D&amp;A - modest growth capex, asset-light FMCG</t>
  </si>
  <si>
    <t xml:space="preserve">Working Capital % of Sales</t>
  </si>
  <si>
    <t xml:space="preserve">Approximated from Screener.in 'Working Capital Days' ratio (~-26 days avg FY24-26 / 365)</t>
  </si>
  <si>
    <t xml:space="preserve">HUL - FCFF Build (Rs Cr)</t>
  </si>
  <si>
    <t xml:space="preserve">FY26A (Base)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</si>
  <si>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</si>
  <si>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</si>
  <si>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</si>
  <si>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</si>
  <si>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</si>
  <si>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Revenue Growth %</t>
  </si>
  <si>
    <t xml:space="preserve">Revenue</t>
  </si>
  <si>
    <t xml:space="preserve">EBIT Margin %</t>
  </si>
  <si>
    <t xml:space="preserve">EBIT</t>
  </si>
  <si>
    <t xml:space="preserve">Tax Rate %</t>
  </si>
  <si>
    <t xml:space="preserve">NOPAT</t>
  </si>
  <si>
    <t xml:space="preserve">(+) D&amp;A</t>
  </si>
  <si>
    <t xml:space="preserve">(-) Capex</t>
  </si>
  <si>
    <t xml:space="preserve">Working Capital (Balance)</t>
  </si>
  <si>
    <t xml:space="preserve">(-) Increase in WC</t>
  </si>
  <si>
    <t xml:space="preserve">FCFF</t>
  </si>
  <si>
    <t xml:space="preserve">HUL - DCF Valuation (Rs Cr, except per-share)</t>
  </si>
  <si>
    <t xml:space="preserve">Discount Period</t>
  </si>
  <si>
    <t xml:space="preserve">Discount Factor</t>
  </si>
  <si>
    <t xml:space="preserve">PV of FCFF</t>
  </si>
  <si>
    <t xml:space="preserve">Sum PV of Explicit FCFF (FY27E-FY31E)</t>
  </si>
  <si>
    <t xml:space="preserve">Terminal Value (Year 5)</t>
  </si>
  <si>
    <t xml:space="preserve">Terminal Value = FCFF5*(1+g)/(WACC-g)</t>
  </si>
  <si>
    <t xml:space="preserve">PV of Terminal Value</t>
  </si>
  <si>
    <t xml:space="preserve">WACC (used above)</t>
  </si>
  <si>
    <t xml:space="preserve">Enterprise Value</t>
  </si>
  <si>
    <t xml:space="preserve">(-) Total Debt</t>
  </si>
  <si>
    <t xml:space="preserve">(+) Cash &amp; Investments</t>
  </si>
  <si>
    <t xml:space="preserve">Equity Value</t>
  </si>
  <si>
    <t xml:space="preserve">Shares Outstanding (Cr)</t>
  </si>
  <si>
    <t xml:space="preserve">Value per Share (Rs)</t>
  </si>
  <si>
    <t xml:space="preserve">Current Market Price (Rs)</t>
  </si>
  <si>
    <t xml:space="preserve">Upside / (Downside) %</t>
  </si>
  <si>
    <t xml:space="preserve">HUL - Sensitivity: Value per Share (Rs) vs WACC &amp; Terminal Growth</t>
  </si>
  <si>
    <t xml:space="preserve">Rows = WACC, Columns = Terminal Growth Rate (g)</t>
  </si>
  <si>
    <t xml:space="preserve">WACC \ g</t>
  </si>
  <si>
    <t xml:space="preserve">Base case (center cell, bold border) matches DCF Valuation tab per-share value.</t>
  </si>
  <si>
    <t xml:space="preserve">Current market price: Rs 2,170 (18-Jul-2026).</t>
  </si>
  <si>
    <t xml:space="preserve">HUL - Relative Valuation Cross-Check (EV/EBITDA &amp; P/E vs FMCG Peers)</t>
  </si>
  <si>
    <t xml:space="preserve">Purpose: sanity-check the DCF output against what public FMCG peer multiples imply for HUL.</t>
  </si>
  <si>
    <t xml:space="preserve">Company</t>
  </si>
  <si>
    <t xml:space="preserve">P/E (x, TTM)</t>
  </si>
  <si>
    <t xml:space="preserve">EV/EBITDA (x, TTM)</t>
  </si>
  <si>
    <t xml:space="preserve">Used in peer median?</t>
  </si>
  <si>
    <t xml:space="preserve">Source</t>
  </si>
  <si>
    <t xml:space="preserve">Hindustan Unilever (self)</t>
  </si>
  <si>
    <t xml:space="preserve">Reference only</t>
  </si>
  <si>
    <t xml:space="preserve">Median of multiple live sources (Screener/MarketsMojo/Tijori/Yahoo), Jul-2026 - shown for reference, excluded from peer set</t>
  </si>
  <si>
    <t xml:space="preserve">Nestle India</t>
  </si>
  <si>
    <t xml:space="preserve">No - premium outlier</t>
  </si>
  <si>
    <t xml:space="preserve">ValueResearchOnline (23-Apr-2026); valueinvesting.io (1-Jan-2026). Trades at ~2x sector median; excluded as non-representative</t>
  </si>
  <si>
    <t xml:space="preserve">Colgate-Palmolive India</t>
  </si>
  <si>
    <t xml:space="preserve">Yes</t>
  </si>
  <si>
    <t xml:space="preserve">Multiples.vc (7-Jun-2026); MarketScreener (2026)</t>
  </si>
  <si>
    <t xml:space="preserve">Dabur India</t>
  </si>
  <si>
    <t xml:space="preserve">companiesmarketcap.com; valueinvesting.io / investing.com (Feb-2026)</t>
  </si>
  <si>
    <t xml:space="preserve">ITC Ltd</t>
  </si>
  <si>
    <t xml:space="preserve">No - diversified conglomerate</t>
  </si>
  <si>
    <t xml:space="preserve">stockanalysis.com; ValueResearchOnline (Jul-2026). Cigarettes-led earnings mix, not FMCG pure-play</t>
  </si>
  <si>
    <t xml:space="preserve">Peer set for median = Colgate-Palmolive India + Dabur India only.</t>
  </si>
  <si>
    <t xml:space="preserve">Nestle India excluded (trades at a structural premium unrelated to HUL's growth/margin profile).</t>
  </si>
  <si>
    <t xml:space="preserve">ITC excluded (cigarettes drive ~80% of profit; not a comparable business or risk profile).</t>
  </si>
  <si>
    <t xml:space="preserve">Peer Median P/E (x)</t>
  </si>
  <si>
    <t xml:space="preserve">Peer Median EV/EBITDA (x)</t>
  </si>
  <si>
    <t xml:space="preserve">Implied HUL Valuation from Peer Multiples</t>
  </si>
  <si>
    <t xml:space="preserve">HUL FY26A EBITDA (EBIT + D&amp;A, Rs Cr)</t>
  </si>
  <si>
    <t xml:space="preserve">Implied EV (Peer Median EV/EBITDA x FY26A EBITDA, Rs Cr)</t>
  </si>
  <si>
    <t xml:space="preserve">(-) Total Debt (Rs Cr)</t>
  </si>
  <si>
    <t xml:space="preserve">(+) Cash &amp; Investments (Rs Cr)</t>
  </si>
  <si>
    <t xml:space="preserve">Implied Equity Value (Rs Cr)</t>
  </si>
  <si>
    <t xml:space="preserve">Implied Value per Share - EV/EBITDA method (Rs)</t>
  </si>
  <si>
    <t xml:space="preserve">HUL FY26A Normalized PAT (EBIT x (1-Normalized Tax), Rs Cr)</t>
  </si>
  <si>
    <t xml:space="preserve">Note: excludes FY26 one-off Other Income &amp; related tax anomaly, for consistency with DCF base</t>
  </si>
  <si>
    <t xml:space="preserve">Implied Value per Share - P/E method (Rs)</t>
  </si>
  <si>
    <t xml:space="preserve">Comparison</t>
  </si>
  <si>
    <t xml:space="preserve">DCF Value per Share (Rs)</t>
  </si>
  <si>
    <t xml:space="preserve">Peer EV/EBITDA-Implied Value per Share (Rs)</t>
  </si>
  <si>
    <t xml:space="preserve">Takeaway: the DCF and peer-multiple cross-check diverge because a WACC/terminal-growth DCF is conservative relative to how the market prices HUL's brand moat and cash-flow stability, while peer trading multiples capture that premium directly.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</si>
</sst>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0.0%"/>
    <numFmt numFmtId="167" formatCode="0.00"/>
    <numFmt numFmtId="168" formatCode="#,##0;\(#,##0\);\-"/>
    <numFmt numFmtId="169" formatCode="0.000"/>
    <numFmt numFmtId="170" formatCode="#,##0;\(#,##0\)"/>
    <numFmt numFmtId="171" formatCode="#,##0.0"/>
    <numFmt numFmtId="172" formatCode="0.00%"/>
    <numFmt numFmtId="173" formatCode="0.0\x"/>
    <numFmt numFmtId="174" formatCode="0"/>
    <numFmt numFmtId="175" formatCode="#,##0.00;\(#,##0.00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2"/>
      <charset val="1"/>
    </font>
    <font>
      <sz val="12"/>
      <name val="Arial"/>
      <family val="0"/>
      <charset val="1"/>
    </font>
    <font>
      <b val="true"/>
      <sz val="11"/>
      <name val="Arial"/>
      <family val="2"/>
      <charset val="1"/>
    </font>
    <font>
      <i val="true"/>
      <sz val="12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2"/>
      <color rgb="FF0000FF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1"/>
      <color rgb="FFFFFFFF"/>
      <name val="Cambria"/>
      <family val="1"/>
      <charset val="1"/>
    </font>
    <font>
      <i val="true"/>
      <sz val="9"/>
      <color rgb="FF808080"/>
      <name val="Arial"/>
      <family val="2"/>
      <charset val="1"/>
    </font>
    <font>
      <sz val="12"/>
      <color rgb="FF008000"/>
      <name val="Arial"/>
      <family val="0"/>
      <charset val="1"/>
    </font>
    <font>
      <sz val="12"/>
      <color rgb="FF808080"/>
      <name val="Arial"/>
      <family val="0"/>
      <charset val="1"/>
    </font>
    <font>
      <sz val="11"/>
      <name val="Cambria"/>
      <family val="1"/>
      <charset val="1"/>
    </font>
    <font>
      <i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 t="s">
        <v>6</v>
      </c>
    </row>
    <row r="9" customFormat="false" ht="15" hidden="false" customHeight="true" outlineLevel="0" collapsed="false">
      <c r="A9" s="3" t="s">
        <v>7</v>
      </c>
    </row>
    <row r="10" customFormat="false" ht="15" hidden="false" customHeight="true" outlineLevel="0" collapsed="false">
      <c r="A10" s="3" t="s">
        <v>8</v>
      </c>
    </row>
    <row r="11" customFormat="false" ht="15" hidden="false" customHeight="true" outlineLevel="0" collapsed="false">
      <c r="A11" s="5"/>
    </row>
    <row r="12" customFormat="false" ht="15" hidden="false" customHeight="true" outlineLevel="0" collapsed="false">
      <c r="A12" s="4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 t="s">
        <v>13</v>
      </c>
    </row>
    <row r="17" customFormat="false" ht="1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3" t="s">
        <v>15</v>
      </c>
    </row>
    <row r="19" customFormat="false" ht="15" hidden="false" customHeight="true" outlineLevel="0" collapsed="false">
      <c r="A19" s="3" t="s">
        <v>16</v>
      </c>
    </row>
    <row r="20" customFormat="false" ht="15" hidden="false" customHeight="true" outlineLevel="0" collapsed="false">
      <c r="A20" s="3" t="s">
        <v>17</v>
      </c>
    </row>
    <row r="21" customFormat="false" ht="15" hidden="false" customHeight="true" outlineLevel="0" collapsed="false">
      <c r="A21" s="3" t="s">
        <v>18</v>
      </c>
    </row>
    <row r="22" customFormat="false" ht="15" hidden="false" customHeight="true" outlineLevel="0" collapsed="false">
      <c r="A22" s="3" t="s">
        <v>19</v>
      </c>
    </row>
    <row r="23" customFormat="false" ht="15" hidden="false" customHeight="true" outlineLevel="0" collapsed="false">
      <c r="A23" s="3" t="s">
        <v>20</v>
      </c>
    </row>
    <row r="24" customFormat="false" ht="15" hidden="false" customHeight="true" outlineLevel="0" collapsed="false">
      <c r="A24" s="3" t="s">
        <v>21</v>
      </c>
    </row>
    <row r="25" customFormat="false" ht="15" hidden="false" customHeight="false" outlineLevel="0" collapsed="false">
      <c r="A25" s="3" t="s">
        <v>22</v>
      </c>
    </row>
    <row r="26" customFormat="false" ht="15" hidden="false" customHeight="false" outlineLevel="0" collapsed="false">
      <c r="A26" s="3" t="s">
        <v>23</v>
      </c>
    </row>
    <row r="27" customFormat="false" ht="15" hidden="false" customHeight="false" outlineLevel="0" collapsed="false">
      <c r="A27" s="3" t="s">
        <v>24</v>
      </c>
    </row>
    <row r="28" customFormat="false" ht="15" hidden="false" customHeight="false" outlineLevel="0" collapsed="false">
      <c r="A28" s="3" t="s">
        <v>25</v>
      </c>
    </row>
    <row r="30" customFormat="false" ht="15" hidden="false" customHeight="false" outlineLevel="0" collapsed="false">
      <c r="A30" s="4" t="s">
        <v>26</v>
      </c>
    </row>
    <row r="31" customFormat="false" ht="15" hidden="false" customHeight="false" outlineLevel="0" collapsed="false">
      <c r="A31" s="3" t="s">
        <v>27</v>
      </c>
    </row>
    <row r="32" customFormat="false" ht="15" hidden="false" customHeight="false" outlineLevel="0" collapsed="false">
      <c r="A32" s="3" t="s">
        <v>28</v>
      </c>
    </row>
    <row r="33" customFormat="false" ht="15" hidden="false" customHeight="false" outlineLevel="0" collapsed="false">
      <c r="A33" s="3" t="s">
        <v>29</v>
      </c>
    </row>
    <row r="34" customFormat="false" ht="15" hidden="false" customHeight="false" outlineLevel="0" collapsed="false">
      <c r="A34" s="3" t="s">
        <v>30</v>
      </c>
    </row>
    <row r="35" customFormat="false" ht="14.25" hidden="false" customHeight="false" outlineLevel="0" collapsed="false">
      <c r="A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5" hidden="false" customHeight="true" outlineLevel="0" collapsed="false">
      <c r="A1" s="4" t="s">
        <v>31</v>
      </c>
    </row>
    <row r="2" customFormat="false" ht="15" hidden="false" customHeight="true" outlineLevel="0" collapsed="false">
      <c r="A2" s="6" t="s">
        <v>32</v>
      </c>
    </row>
    <row r="4" customFormat="false" ht="15" hidden="false" customHeight="true" outlineLevel="0" collapsed="false">
      <c r="A4" s="7" t="s">
        <v>33</v>
      </c>
      <c r="B4" s="7" t="s">
        <v>34</v>
      </c>
      <c r="C4" s="7" t="s">
        <v>35</v>
      </c>
      <c r="D4" s="7" t="s">
        <v>36</v>
      </c>
    </row>
    <row r="5" customFormat="false" ht="15" hidden="false" customHeight="true" outlineLevel="0" collapsed="false">
      <c r="A5" s="3" t="s">
        <v>37</v>
      </c>
      <c r="B5" s="8" t="n">
        <v>61896</v>
      </c>
      <c r="C5" s="8" t="n">
        <v>61328</v>
      </c>
      <c r="D5" s="8" t="n">
        <v>64468</v>
      </c>
    </row>
    <row r="6" customFormat="false" ht="15" hidden="false" customHeight="true" outlineLevel="0" collapsed="false">
      <c r="A6" s="3" t="s">
        <v>38</v>
      </c>
      <c r="B6" s="8" t="n">
        <v>14659</v>
      </c>
      <c r="C6" s="8" t="n">
        <v>14698</v>
      </c>
      <c r="D6" s="8" t="n">
        <v>15039</v>
      </c>
    </row>
    <row r="7" customFormat="false" ht="15" hidden="false" customHeight="true" outlineLevel="0" collapsed="false">
      <c r="A7" s="3" t="s">
        <v>39</v>
      </c>
      <c r="B7" s="9" t="n">
        <f aca="false">B6/B5</f>
        <v>0.23683275171255</v>
      </c>
      <c r="C7" s="9" t="n">
        <f aca="false">C6/C5</f>
        <v>0.239662144534307</v>
      </c>
      <c r="D7" s="9" t="n">
        <f aca="false">D6/D5</f>
        <v>0.233278525780232</v>
      </c>
    </row>
    <row r="8" customFormat="false" ht="15" hidden="false" customHeight="true" outlineLevel="0" collapsed="false">
      <c r="A8" s="3" t="s">
        <v>40</v>
      </c>
      <c r="B8" s="8" t="n">
        <v>817</v>
      </c>
      <c r="C8" s="8" t="n">
        <v>1355</v>
      </c>
      <c r="D8" s="8" t="n">
        <v>4923</v>
      </c>
    </row>
    <row r="9" customFormat="false" ht="15" hidden="false" customHeight="true" outlineLevel="0" collapsed="false">
      <c r="A9" s="3" t="s">
        <v>41</v>
      </c>
      <c r="B9" s="8" t="n">
        <v>1216</v>
      </c>
      <c r="C9" s="8" t="n">
        <v>1253</v>
      </c>
      <c r="D9" s="8" t="n">
        <v>1333</v>
      </c>
    </row>
    <row r="10" customFormat="false" ht="15" hidden="false" customHeight="true" outlineLevel="0" collapsed="false">
      <c r="A10" s="3" t="s">
        <v>42</v>
      </c>
      <c r="B10" s="8" t="n">
        <v>334</v>
      </c>
      <c r="C10" s="8" t="n">
        <v>381</v>
      </c>
      <c r="D10" s="8" t="n">
        <v>410</v>
      </c>
    </row>
    <row r="11" customFormat="false" ht="15" hidden="false" customHeight="true" outlineLevel="0" collapsed="false">
      <c r="A11" s="3" t="s">
        <v>43</v>
      </c>
      <c r="B11" s="8" t="n">
        <v>13926</v>
      </c>
      <c r="C11" s="8" t="n">
        <v>14419</v>
      </c>
      <c r="D11" s="8" t="n">
        <v>18219</v>
      </c>
    </row>
    <row r="12" customFormat="false" ht="15" hidden="false" customHeight="true" outlineLevel="0" collapsed="false">
      <c r="A12" s="3" t="s">
        <v>44</v>
      </c>
      <c r="B12" s="9" t="n">
        <f aca="false">(B11-B13)/B11</f>
        <v>0.261668820910527</v>
      </c>
      <c r="C12" s="9" t="n">
        <f aca="false">(C11-C13)/C11</f>
        <v>0.259934808239129</v>
      </c>
      <c r="D12" s="9" t="n">
        <f aca="false">(D11-D13)/D11</f>
        <v>0.173445304352599</v>
      </c>
    </row>
    <row r="13" customFormat="false" ht="15" hidden="false" customHeight="true" outlineLevel="0" collapsed="false">
      <c r="A13" s="3" t="s">
        <v>45</v>
      </c>
      <c r="B13" s="8" t="n">
        <v>10282</v>
      </c>
      <c r="C13" s="8" t="n">
        <v>10671</v>
      </c>
      <c r="D13" s="8" t="n">
        <v>15059</v>
      </c>
    </row>
    <row r="14" customFormat="false" ht="15" hidden="false" customHeight="true" outlineLevel="0" collapsed="false">
      <c r="A14" s="3" t="s">
        <v>46</v>
      </c>
      <c r="B14" s="10" t="n">
        <v>43.74</v>
      </c>
      <c r="C14" s="10" t="n">
        <v>45.32</v>
      </c>
      <c r="D14" s="10" t="n">
        <v>64.01</v>
      </c>
    </row>
    <row r="15" customFormat="false" ht="15" hidden="false" customHeight="true" outlineLevel="0" collapsed="false">
      <c r="A15" s="3" t="s">
        <v>47</v>
      </c>
      <c r="B15" s="8" t="n">
        <v>15469</v>
      </c>
      <c r="C15" s="8" t="n">
        <v>11886</v>
      </c>
      <c r="D15" s="8" t="n">
        <v>10999</v>
      </c>
    </row>
    <row r="16" customFormat="false" ht="15" hidden="false" customHeight="true" outlineLevel="0" collapsed="false">
      <c r="A16" s="3" t="s">
        <v>48</v>
      </c>
      <c r="B16" s="8" t="n">
        <v>14012</v>
      </c>
      <c r="C16" s="8" t="n">
        <v>10624</v>
      </c>
      <c r="D16" s="8" t="n">
        <v>9667</v>
      </c>
    </row>
    <row r="17" customFormat="false" ht="15" hidden="false" customHeight="true" outlineLevel="0" collapsed="false">
      <c r="A17" s="3" t="s">
        <v>49</v>
      </c>
      <c r="B17" s="8" t="n">
        <v>1484</v>
      </c>
      <c r="C17" s="8" t="n">
        <v>1648</v>
      </c>
      <c r="D17" s="8" t="n">
        <v>1478</v>
      </c>
    </row>
    <row r="18" customFormat="false" ht="15" hidden="false" customHeight="true" outlineLevel="0" collapsed="false">
      <c r="A18" s="3" t="s">
        <v>50</v>
      </c>
      <c r="B18" s="8" t="n">
        <v>4625</v>
      </c>
      <c r="C18" s="8" t="n">
        <v>3810</v>
      </c>
      <c r="D18" s="8" t="n">
        <v>4359</v>
      </c>
    </row>
    <row r="19" customFormat="false" ht="15" hidden="false" customHeight="true" outlineLevel="0" collapsed="false">
      <c r="A19" s="3" t="s">
        <v>51</v>
      </c>
      <c r="B19" s="8" t="n">
        <v>235</v>
      </c>
      <c r="C19" s="8" t="n">
        <v>235</v>
      </c>
      <c r="D19" s="8" t="n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5" hidden="false" customHeight="true" outlineLevel="0" collapsed="false">
      <c r="A1" s="4" t="s">
        <v>52</v>
      </c>
    </row>
    <row r="3" customFormat="false" ht="15" hidden="false" customHeight="true" outlineLevel="0" collapsed="false">
      <c r="A3" s="7" t="s">
        <v>53</v>
      </c>
      <c r="B3" s="11"/>
      <c r="C3" s="11"/>
    </row>
    <row r="4" customFormat="false" ht="15" hidden="false" customHeight="true" outlineLevel="0" collapsed="false">
      <c r="A4" s="3" t="s">
        <v>54</v>
      </c>
      <c r="B4" s="12" t="n">
        <v>0.069</v>
      </c>
      <c r="C4" s="6" t="s">
        <v>55</v>
      </c>
    </row>
    <row r="5" customFormat="false" ht="15" hidden="false" customHeight="true" outlineLevel="0" collapsed="false">
      <c r="A5" s="3" t="s">
        <v>56</v>
      </c>
      <c r="B5" s="12" t="n">
        <v>0.07</v>
      </c>
      <c r="C5" s="6" t="s">
        <v>57</v>
      </c>
    </row>
    <row r="6" customFormat="false" ht="15" hidden="false" customHeight="true" outlineLevel="0" collapsed="false">
      <c r="A6" s="3" t="s">
        <v>58</v>
      </c>
      <c r="B6" s="13" t="n">
        <v>0.32</v>
      </c>
      <c r="C6" s="6" t="s">
        <v>59</v>
      </c>
    </row>
    <row r="7" customFormat="false" ht="15" hidden="false" customHeight="true" outlineLevel="0" collapsed="false">
      <c r="A7" s="3" t="s">
        <v>60</v>
      </c>
      <c r="B7" s="9" t="n">
        <f aca="false">B4+B6*B5</f>
        <v>0.0914</v>
      </c>
      <c r="C7" s="6" t="s">
        <v>61</v>
      </c>
    </row>
    <row r="8" customFormat="false" ht="15" hidden="false" customHeight="true" outlineLevel="0" collapsed="false">
      <c r="A8" s="3" t="s">
        <v>62</v>
      </c>
      <c r="B8" s="12" t="n">
        <v>0.075</v>
      </c>
      <c r="C8" s="6" t="s">
        <v>63</v>
      </c>
    </row>
    <row r="9" customFormat="false" ht="15" hidden="false" customHeight="true" outlineLevel="0" collapsed="false">
      <c r="A9" s="3" t="s">
        <v>64</v>
      </c>
      <c r="B9" s="12" t="n">
        <v>0.255</v>
      </c>
      <c r="C9" s="6" t="s">
        <v>65</v>
      </c>
    </row>
    <row r="10" customFormat="false" ht="15" hidden="false" customHeight="true" outlineLevel="0" collapsed="false">
      <c r="A10" s="3" t="s">
        <v>66</v>
      </c>
      <c r="B10" s="14" t="n">
        <v>509914</v>
      </c>
      <c r="C10" s="6" t="s">
        <v>67</v>
      </c>
    </row>
    <row r="11" customFormat="false" ht="15" hidden="false" customHeight="true" outlineLevel="0" collapsed="false">
      <c r="A11" s="3" t="s">
        <v>68</v>
      </c>
      <c r="B11" s="14" t="n">
        <v>1478</v>
      </c>
      <c r="C11" s="6" t="s">
        <v>69</v>
      </c>
    </row>
    <row r="12" customFormat="false" ht="15" hidden="false" customHeight="true" outlineLevel="0" collapsed="false">
      <c r="A12" s="3" t="s">
        <v>70</v>
      </c>
      <c r="B12" s="9" t="n">
        <f aca="false">B10/(B10+B11)</f>
        <v>0.99710984919592</v>
      </c>
      <c r="C12" s="6" t="s">
        <v>71</v>
      </c>
    </row>
    <row r="13" customFormat="false" ht="15" hidden="false" customHeight="true" outlineLevel="0" collapsed="false">
      <c r="A13" s="3" t="s">
        <v>72</v>
      </c>
      <c r="B13" s="9" t="n">
        <f aca="false">B11/(B10+B11)</f>
        <v>0.00289015080407985</v>
      </c>
      <c r="C13" s="6" t="s">
        <v>73</v>
      </c>
    </row>
    <row r="14" customFormat="false" ht="15" hidden="false" customHeight="true" outlineLevel="0" collapsed="false">
      <c r="A14" s="4" t="s">
        <v>74</v>
      </c>
      <c r="B14" s="15" t="n">
        <f aca="false">B12*B7+B13*B8*(1-B9)</f>
        <v>0.0912973273926851</v>
      </c>
      <c r="C14" s="6" t="s">
        <v>75</v>
      </c>
    </row>
    <row r="15" customFormat="false" ht="15" hidden="false" customHeight="true" outlineLevel="0" collapsed="false">
      <c r="A15" s="5"/>
      <c r="B15" s="5"/>
    </row>
    <row r="17" customFormat="false" ht="15" hidden="false" customHeight="true" outlineLevel="0" collapsed="false">
      <c r="A17" s="7" t="s">
        <v>76</v>
      </c>
      <c r="B17" s="11"/>
      <c r="C17" s="11"/>
    </row>
    <row r="18" customFormat="false" ht="15" hidden="false" customHeight="true" outlineLevel="0" collapsed="false">
      <c r="A18" s="3" t="s">
        <v>77</v>
      </c>
      <c r="B18" s="12" t="n">
        <v>0.06</v>
      </c>
      <c r="C18" s="6" t="s">
        <v>78</v>
      </c>
    </row>
    <row r="19" customFormat="false" ht="15" hidden="false" customHeight="true" outlineLevel="0" collapsed="false">
      <c r="A19" s="3" t="s">
        <v>79</v>
      </c>
      <c r="B19" s="12" t="n">
        <v>0.055</v>
      </c>
      <c r="C19" s="16"/>
    </row>
    <row r="20" customFormat="false" ht="15" hidden="false" customHeight="true" outlineLevel="0" collapsed="false">
      <c r="A20" s="3" t="s">
        <v>80</v>
      </c>
      <c r="B20" s="12" t="n">
        <v>0.05</v>
      </c>
      <c r="C20" s="16"/>
    </row>
    <row r="21" customFormat="false" ht="15" hidden="false" customHeight="true" outlineLevel="0" collapsed="false">
      <c r="A21" s="3" t="s">
        <v>81</v>
      </c>
      <c r="B21" s="12" t="n">
        <v>0.0475</v>
      </c>
      <c r="C21" s="16"/>
    </row>
    <row r="22" customFormat="false" ht="15" hidden="false" customHeight="true" outlineLevel="0" collapsed="false">
      <c r="A22" s="3" t="s">
        <v>82</v>
      </c>
      <c r="B22" s="12" t="n">
        <v>0.045</v>
      </c>
      <c r="C22" s="6" t="s">
        <v>83</v>
      </c>
    </row>
    <row r="23" customFormat="false" ht="15" hidden="false" customHeight="true" outlineLevel="0" collapsed="false">
      <c r="A23" s="3" t="s">
        <v>84</v>
      </c>
      <c r="B23" s="12" t="n">
        <v>0.0425</v>
      </c>
      <c r="C23" s="6" t="s">
        <v>85</v>
      </c>
    </row>
    <row r="24" customFormat="false" ht="15" hidden="false" customHeight="true" outlineLevel="0" collapsed="false">
      <c r="A24" s="3" t="s">
        <v>86</v>
      </c>
      <c r="B24" s="12" t="n">
        <v>0.235</v>
      </c>
      <c r="C24" s="6" t="s">
        <v>87</v>
      </c>
    </row>
    <row r="25" customFormat="false" ht="15" hidden="false" customHeight="true" outlineLevel="0" collapsed="false">
      <c r="A25" s="3" t="s">
        <v>88</v>
      </c>
      <c r="B25" s="12" t="n">
        <v>0.02</v>
      </c>
      <c r="C25" s="6" t="s">
        <v>89</v>
      </c>
    </row>
    <row r="26" customFormat="false" ht="15" hidden="false" customHeight="true" outlineLevel="0" collapsed="false">
      <c r="A26" s="3" t="s">
        <v>90</v>
      </c>
      <c r="B26" s="12" t="n">
        <v>0.022</v>
      </c>
      <c r="C26" s="6" t="s">
        <v>91</v>
      </c>
    </row>
    <row r="27" customFormat="false" ht="15" hidden="false" customHeight="true" outlineLevel="0" collapsed="false">
      <c r="A27" s="3" t="s">
        <v>92</v>
      </c>
      <c r="B27" s="12" t="n">
        <v>-0.07</v>
      </c>
      <c r="C27" s="6" t="s">
        <v>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5"/>
  </cols>
  <sheetData>
    <row r="1" customFormat="false" ht="15" hidden="false" customHeight="true" outlineLevel="0" collapsed="false">
      <c r="A1" s="4" t="s">
        <v>94</v>
      </c>
    </row>
    <row r="3" customFormat="false" ht="15" hidden="false" customHeight="true" outlineLevel="0" collapsed="false">
      <c r="A3" s="11"/>
      <c r="B3" s="7" t="s">
        <v>95</v>
      </c>
      <c r="C3" s="7" t="s">
        <v>96</v>
      </c>
      <c r="D3" s="7" t="s">
        <v>97</v>
      </c>
      <c r="E3" s="7" t="s">
        <v>98</v>
      </c>
      <c r="F3" s="7" t="s">
        <v>99</v>
      </c>
      <c r="G3" s="7" t="s">
        <v>100</v>
      </c>
    </row>
    <row r="4" customFormat="false" ht="15" hidden="false" customHeight="true" outlineLevel="0" collapsed="false">
      <c r="A4" s="3" t="s">
        <v>101</v>
      </c>
      <c r="B4" s="17"/>
      <c r="C4" s="18" t="n">
        <f aca="false">Assumptions!B18</f>
        <v>0.06</v>
      </c>
      <c r="D4" s="18" t="n">
        <f aca="false">Assumptions!B19</f>
        <v>0.055</v>
      </c>
      <c r="E4" s="18" t="n">
        <f aca="false">Assumptions!B20</f>
        <v>0.05</v>
      </c>
      <c r="F4" s="18" t="n">
        <f aca="false">Assumptions!B21</f>
        <v>0.0475</v>
      </c>
      <c r="G4" s="18" t="n">
        <f aca="false">Assumptions!B22</f>
        <v>0.045</v>
      </c>
    </row>
    <row r="5" customFormat="false" ht="15" hidden="false" customHeight="true" outlineLevel="0" collapsed="false">
      <c r="A5" s="3" t="s">
        <v>102</v>
      </c>
      <c r="B5" s="19" t="n">
        <f aca="false">Historicals!D5</f>
        <v>64468</v>
      </c>
      <c r="C5" s="19" t="n">
        <f aca="false">B5*(1+C4)</f>
        <v>68336.08</v>
      </c>
      <c r="D5" s="19" t="n">
        <f aca="false">C5*(1+D4)</f>
        <v>72094.5644</v>
      </c>
      <c r="E5" s="19" t="n">
        <f aca="false">D5*(1+E4)</f>
        <v>75699.29262</v>
      </c>
      <c r="F5" s="19" t="n">
        <f aca="false">E5*(1+F4)</f>
        <v>79295.00901945</v>
      </c>
      <c r="G5" s="19" t="n">
        <f aca="false">F5*(1+G4)</f>
        <v>82863.2844253253</v>
      </c>
    </row>
    <row r="6" customFormat="false" ht="15" hidden="false" customHeight="true" outlineLevel="0" collapsed="false">
      <c r="A6" s="3" t="s">
        <v>103</v>
      </c>
      <c r="B6" s="9" t="n">
        <f aca="false">Historicals!D7</f>
        <v>0.233278525780232</v>
      </c>
      <c r="C6" s="18" t="n">
        <f aca="false">Assumptions!$B$24</f>
        <v>0.235</v>
      </c>
      <c r="D6" s="18" t="n">
        <f aca="false">Assumptions!$B$24</f>
        <v>0.235</v>
      </c>
      <c r="E6" s="18" t="n">
        <f aca="false">Assumptions!$B$24</f>
        <v>0.235</v>
      </c>
      <c r="F6" s="18" t="n">
        <f aca="false">Assumptions!$B$24</f>
        <v>0.235</v>
      </c>
      <c r="G6" s="18" t="n">
        <f aca="false">Assumptions!$B$24</f>
        <v>0.235</v>
      </c>
    </row>
    <row r="7" customFormat="false" ht="15" hidden="false" customHeight="true" outlineLevel="0" collapsed="false">
      <c r="A7" s="3" t="s">
        <v>104</v>
      </c>
      <c r="B7" s="19" t="n">
        <f aca="false">Historicals!D6</f>
        <v>15039</v>
      </c>
      <c r="C7" s="19" t="n">
        <f aca="false">C5*C6</f>
        <v>16058.9788</v>
      </c>
      <c r="D7" s="19" t="n">
        <f aca="false">D5*D6</f>
        <v>16942.222634</v>
      </c>
      <c r="E7" s="19" t="n">
        <f aca="false">E5*E6</f>
        <v>17789.3337657</v>
      </c>
      <c r="F7" s="19" t="n">
        <f aca="false">F5*F6</f>
        <v>18634.3271195708</v>
      </c>
      <c r="G7" s="19" t="n">
        <f aca="false">G5*G6</f>
        <v>19472.8718399514</v>
      </c>
    </row>
    <row r="8" customFormat="false" ht="15" hidden="false" customHeight="true" outlineLevel="0" collapsed="false">
      <c r="A8" s="3" t="s">
        <v>105</v>
      </c>
      <c r="B8" s="17"/>
      <c r="C8" s="18" t="n">
        <f aca="false">Assumptions!$B$9</f>
        <v>0.255</v>
      </c>
      <c r="D8" s="18" t="n">
        <f aca="false">Assumptions!$B$9</f>
        <v>0.255</v>
      </c>
      <c r="E8" s="18" t="n">
        <f aca="false">Assumptions!$B$9</f>
        <v>0.255</v>
      </c>
      <c r="F8" s="18" t="n">
        <f aca="false">Assumptions!$B$9</f>
        <v>0.255</v>
      </c>
      <c r="G8" s="18" t="n">
        <f aca="false">Assumptions!$B$9</f>
        <v>0.255</v>
      </c>
    </row>
    <row r="9" customFormat="false" ht="15" hidden="false" customHeight="true" outlineLevel="0" collapsed="false">
      <c r="A9" s="3" t="s">
        <v>106</v>
      </c>
      <c r="B9" s="20"/>
      <c r="C9" s="19" t="n">
        <f aca="false">C7*(1-C8)</f>
        <v>11963.939206</v>
      </c>
      <c r="D9" s="19" t="n">
        <f aca="false">D7*(1-D8)</f>
        <v>12621.95586233</v>
      </c>
      <c r="E9" s="19" t="n">
        <f aca="false">E7*(1-E8)</f>
        <v>13253.0536554465</v>
      </c>
      <c r="F9" s="19" t="n">
        <f aca="false">F7*(1-F8)</f>
        <v>13882.5737040802</v>
      </c>
      <c r="G9" s="19" t="n">
        <f aca="false">G7*(1-G8)</f>
        <v>14507.2895207638</v>
      </c>
    </row>
    <row r="10" customFormat="false" ht="15" hidden="false" customHeight="true" outlineLevel="0" collapsed="false">
      <c r="A10" s="3" t="s">
        <v>107</v>
      </c>
      <c r="B10" s="20"/>
      <c r="C10" s="19" t="n">
        <f aca="false">Assumptions!$B$25*C5</f>
        <v>1366.7216</v>
      </c>
      <c r="D10" s="19" t="n">
        <f aca="false">Assumptions!$B$25*D5</f>
        <v>1441.891288</v>
      </c>
      <c r="E10" s="19" t="n">
        <f aca="false">Assumptions!$B$25*E5</f>
        <v>1513.9858524</v>
      </c>
      <c r="F10" s="19" t="n">
        <f aca="false">Assumptions!$B$25*F5</f>
        <v>1585.900180389</v>
      </c>
      <c r="G10" s="19" t="n">
        <f aca="false">Assumptions!$B$25*G5</f>
        <v>1657.26568850651</v>
      </c>
    </row>
    <row r="11" customFormat="false" ht="15" hidden="false" customHeight="true" outlineLevel="0" collapsed="false">
      <c r="A11" s="3" t="s">
        <v>108</v>
      </c>
      <c r="B11" s="20"/>
      <c r="C11" s="19" t="n">
        <f aca="false">Assumptions!$B$26*C5</f>
        <v>1503.39376</v>
      </c>
      <c r="D11" s="19" t="n">
        <f aca="false">Assumptions!$B$26*D5</f>
        <v>1586.0804168</v>
      </c>
      <c r="E11" s="19" t="n">
        <f aca="false">Assumptions!$B$26*E5</f>
        <v>1665.38443764</v>
      </c>
      <c r="F11" s="19" t="n">
        <f aca="false">Assumptions!$B$26*F5</f>
        <v>1744.4901984279</v>
      </c>
      <c r="G11" s="19" t="n">
        <f aca="false">Assumptions!$B$26*G5</f>
        <v>1822.99225735716</v>
      </c>
    </row>
    <row r="12" customFormat="false" ht="15" hidden="false" customHeight="true" outlineLevel="0" collapsed="false">
      <c r="A12" s="3" t="s">
        <v>109</v>
      </c>
      <c r="B12" s="19" t="n">
        <f aca="false">Assumptions!B27*B5</f>
        <v>-4512.76</v>
      </c>
      <c r="C12" s="19" t="n">
        <f aca="false">Assumptions!$B$27*C5</f>
        <v>-4783.5256</v>
      </c>
      <c r="D12" s="19" t="n">
        <f aca="false">Assumptions!$B$27*D5</f>
        <v>-5046.619508</v>
      </c>
      <c r="E12" s="19" t="n">
        <f aca="false">Assumptions!$B$27*E5</f>
        <v>-5298.9504834</v>
      </c>
      <c r="F12" s="19" t="n">
        <f aca="false">Assumptions!$B$27*F5</f>
        <v>-5550.6506313615</v>
      </c>
      <c r="G12" s="19" t="n">
        <f aca="false">Assumptions!$B$27*G5</f>
        <v>-5800.42990977277</v>
      </c>
    </row>
    <row r="13" customFormat="false" ht="15" hidden="false" customHeight="true" outlineLevel="0" collapsed="false">
      <c r="A13" s="3" t="s">
        <v>110</v>
      </c>
      <c r="B13" s="20"/>
      <c r="C13" s="19" t="n">
        <f aca="false">C12-B12</f>
        <v>-270.765600000001</v>
      </c>
      <c r="D13" s="19" t="n">
        <f aca="false">D12-C12</f>
        <v>-263.093908</v>
      </c>
      <c r="E13" s="19" t="n">
        <f aca="false">E12-D12</f>
        <v>-252.3309754</v>
      </c>
      <c r="F13" s="19" t="n">
        <f aca="false">F12-E12</f>
        <v>-251.7001479615</v>
      </c>
      <c r="G13" s="19" t="n">
        <f aca="false">G12-F12</f>
        <v>-249.779278411267</v>
      </c>
    </row>
    <row r="14" customFormat="false" ht="15" hidden="false" customHeight="true" outlineLevel="0" collapsed="false">
      <c r="A14" s="4" t="s">
        <v>111</v>
      </c>
      <c r="B14" s="20"/>
      <c r="C14" s="21" t="n">
        <f aca="false">C9+C10-C11-C13</f>
        <v>12098.032646</v>
      </c>
      <c r="D14" s="21" t="n">
        <f aca="false">D9+D10-D11-D13</f>
        <v>12740.86064153</v>
      </c>
      <c r="E14" s="21" t="n">
        <f aca="false">E9+E10-E11-E13</f>
        <v>13353.9860456065</v>
      </c>
      <c r="F14" s="21" t="n">
        <f aca="false">F9+F10-F11-F13</f>
        <v>13975.6838340028</v>
      </c>
      <c r="G14" s="21" t="n">
        <f aca="false">G9+G10-G11-G13</f>
        <v>14591.3422303244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5" hidden="false" customHeight="true" outlineLevel="0" collapsed="false">
      <c r="A1" s="4" t="s">
        <v>112</v>
      </c>
    </row>
    <row r="3" customFormat="false" ht="15" hidden="false" customHeight="true" outlineLevel="0" collapsed="false">
      <c r="A3" s="11"/>
      <c r="B3" s="7" t="s">
        <v>96</v>
      </c>
      <c r="C3" s="7" t="s">
        <v>97</v>
      </c>
      <c r="D3" s="7" t="s">
        <v>98</v>
      </c>
      <c r="E3" s="7" t="s">
        <v>99</v>
      </c>
      <c r="F3" s="7" t="s">
        <v>100</v>
      </c>
    </row>
    <row r="4" customFormat="false" ht="15" hidden="false" customHeight="true" outlineLevel="0" collapsed="false">
      <c r="A4" s="22" t="s">
        <v>111</v>
      </c>
      <c r="B4" s="23" t="n">
        <f aca="false">'FCFF Build'!C14</f>
        <v>12098.032646</v>
      </c>
      <c r="C4" s="23" t="n">
        <f aca="false">'FCFF Build'!D14</f>
        <v>12740.86064153</v>
      </c>
      <c r="D4" s="23" t="n">
        <f aca="false">'FCFF Build'!E14</f>
        <v>13353.9860456065</v>
      </c>
      <c r="E4" s="23" t="n">
        <f aca="false">'FCFF Build'!F14</f>
        <v>13975.6838340028</v>
      </c>
      <c r="F4" s="23" t="n">
        <f aca="false">'FCFF Build'!G14</f>
        <v>14591.3422303244</v>
      </c>
    </row>
    <row r="5" customFormat="false" ht="15" hidden="false" customHeight="true" outlineLevel="0" collapsed="false">
      <c r="A5" s="22" t="s">
        <v>113</v>
      </c>
      <c r="B5" s="22" t="n">
        <v>1</v>
      </c>
      <c r="C5" s="22" t="n">
        <v>2</v>
      </c>
      <c r="D5" s="22" t="n">
        <v>3</v>
      </c>
      <c r="E5" s="22" t="n">
        <v>4</v>
      </c>
      <c r="F5" s="22" t="n">
        <v>5</v>
      </c>
    </row>
    <row r="6" customFormat="false" ht="15" hidden="false" customHeight="true" outlineLevel="0" collapsed="false">
      <c r="A6" s="22" t="s">
        <v>114</v>
      </c>
      <c r="B6" s="24" t="n">
        <f aca="false">1/(1+$B$16)^B5</f>
        <v>0.916340556234284</v>
      </c>
      <c r="C6" s="24" t="n">
        <f aca="false">1/(1+$B$16)^C5</f>
        <v>0.839680014999756</v>
      </c>
      <c r="D6" s="24" t="n">
        <f aca="false">1/(1+$B$16)^D5</f>
        <v>0.769432852003688</v>
      </c>
      <c r="E6" s="24" t="n">
        <f aca="false">1/(1+$B$16)^E5</f>
        <v>0.70506252758999</v>
      </c>
      <c r="F6" s="24" t="n">
        <f aca="false">1/(1+$B$16)^F5</f>
        <v>0.646077388711762</v>
      </c>
    </row>
    <row r="7" customFormat="false" ht="15" hidden="false" customHeight="true" outlineLevel="0" collapsed="false">
      <c r="A7" s="22" t="s">
        <v>115</v>
      </c>
      <c r="B7" s="25" t="n">
        <f aca="false">B4*B6</f>
        <v>11085.9179641762</v>
      </c>
      <c r="C7" s="25" t="n">
        <f aca="false">C4*C6</f>
        <v>10698.2460545897</v>
      </c>
      <c r="D7" s="25" t="n">
        <f aca="false">D4*D6</f>
        <v>10274.9955686885</v>
      </c>
      <c r="E7" s="25" t="n">
        <f aca="false">E4*E6</f>
        <v>9853.73096880059</v>
      </c>
      <c r="F7" s="25" t="n">
        <f aca="false">F4*F6</f>
        <v>9427.13628596766</v>
      </c>
    </row>
    <row r="9" customFormat="false" ht="15" hidden="false" customHeight="true" outlineLevel="0" collapsed="false">
      <c r="A9" s="22" t="s">
        <v>116</v>
      </c>
      <c r="B9" s="25" t="n">
        <f aca="false">SUM(B7:F7)</f>
        <v>51340.0268422226</v>
      </c>
    </row>
    <row r="11" customFormat="false" ht="15" hidden="false" customHeight="true" outlineLevel="0" collapsed="false">
      <c r="A11" s="22" t="s">
        <v>117</v>
      </c>
    </row>
    <row r="12" customFormat="false" ht="15" hidden="false" customHeight="true" outlineLevel="0" collapsed="false">
      <c r="A12" s="22" t="s">
        <v>84</v>
      </c>
      <c r="B12" s="18" t="n">
        <f aca="false">Assumptions!B23</f>
        <v>0.0425</v>
      </c>
    </row>
    <row r="13" customFormat="false" ht="15" hidden="false" customHeight="true" outlineLevel="0" collapsed="false">
      <c r="A13" s="22" t="s">
        <v>74</v>
      </c>
      <c r="B13" s="18" t="n">
        <f aca="false">Assumptions!B14</f>
        <v>0.0912973273926851</v>
      </c>
    </row>
    <row r="14" customFormat="false" ht="15" hidden="false" customHeight="true" outlineLevel="0" collapsed="false">
      <c r="A14" s="22" t="s">
        <v>118</v>
      </c>
      <c r="B14" s="25" t="n">
        <f aca="false">F4*(1+B12)/(B13-B12)</f>
        <v>311727.610668151</v>
      </c>
    </row>
    <row r="15" customFormat="false" ht="15" hidden="false" customHeight="true" outlineLevel="0" collapsed="false">
      <c r="A15" s="22" t="s">
        <v>119</v>
      </c>
      <c r="B15" s="25" t="n">
        <f aca="false">B14*F6</f>
        <v>201400.160689836</v>
      </c>
    </row>
    <row r="16" customFormat="false" ht="15" hidden="false" customHeight="true" outlineLevel="0" collapsed="false">
      <c r="A16" s="22" t="s">
        <v>120</v>
      </c>
      <c r="B16" s="18" t="n">
        <f aca="false">Assumptions!B14</f>
        <v>0.0912973273926851</v>
      </c>
    </row>
    <row r="18" customFormat="false" ht="15" hidden="false" customHeight="true" outlineLevel="0" collapsed="false">
      <c r="A18" s="22" t="s">
        <v>121</v>
      </c>
      <c r="B18" s="26" t="n">
        <f aca="false">B9+B15</f>
        <v>252740.187532058</v>
      </c>
    </row>
    <row r="19" customFormat="false" ht="15" hidden="false" customHeight="true" outlineLevel="0" collapsed="false">
      <c r="A19" s="22" t="s">
        <v>122</v>
      </c>
      <c r="B19" s="27" t="n">
        <f aca="false">-Assumptions!B11</f>
        <v>-1478</v>
      </c>
    </row>
    <row r="20" customFormat="false" ht="15" hidden="false" customHeight="true" outlineLevel="0" collapsed="false">
      <c r="A20" s="22" t="s">
        <v>123</v>
      </c>
      <c r="B20" s="23" t="n">
        <f aca="false">Historicals!D18</f>
        <v>4359</v>
      </c>
    </row>
    <row r="21" customFormat="false" ht="15" hidden="false" customHeight="true" outlineLevel="0" collapsed="false">
      <c r="A21" s="22" t="s">
        <v>124</v>
      </c>
      <c r="B21" s="26" t="n">
        <f aca="false">B18+B19+B20</f>
        <v>255621.187532058</v>
      </c>
    </row>
    <row r="22" customFormat="false" ht="15" hidden="false" customHeight="true" outlineLevel="0" collapsed="false">
      <c r="A22" s="22" t="s">
        <v>125</v>
      </c>
      <c r="B22" s="23" t="n">
        <f aca="false">Historicals!D19</f>
        <v>235</v>
      </c>
    </row>
    <row r="23" customFormat="false" ht="15" hidden="false" customHeight="true" outlineLevel="0" collapsed="false">
      <c r="A23" s="22" t="s">
        <v>126</v>
      </c>
      <c r="B23" s="28" t="n">
        <f aca="false">B21/B22</f>
        <v>1087.74973417897</v>
      </c>
    </row>
    <row r="24" customFormat="false" ht="15" hidden="false" customHeight="true" outlineLevel="0" collapsed="false">
      <c r="A24" s="22" t="s">
        <v>127</v>
      </c>
      <c r="B24" s="14" t="n">
        <v>2170</v>
      </c>
    </row>
    <row r="25" customFormat="false" ht="15" hidden="false" customHeight="true" outlineLevel="0" collapsed="false">
      <c r="A25" s="22" t="s">
        <v>128</v>
      </c>
      <c r="B25" s="9" t="n">
        <f aca="false">B23/B24-1</f>
        <v>-0.498732841392179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3"/>
  </cols>
  <sheetData>
    <row r="1" customFormat="false" ht="15" hidden="false" customHeight="true" outlineLevel="0" collapsed="false">
      <c r="A1" s="4" t="s">
        <v>129</v>
      </c>
    </row>
    <row r="2" customFormat="false" ht="15" hidden="false" customHeight="true" outlineLevel="0" collapsed="false">
      <c r="A2" s="6" t="s">
        <v>130</v>
      </c>
    </row>
    <row r="4" customFormat="false" ht="15" hidden="false" customHeight="true" outlineLevel="0" collapsed="false">
      <c r="A4" s="7" t="s">
        <v>131</v>
      </c>
      <c r="B4" s="29" t="n">
        <v>0.035</v>
      </c>
      <c r="C4" s="29" t="n">
        <v>0.03875</v>
      </c>
      <c r="D4" s="29" t="n">
        <v>0.0425</v>
      </c>
      <c r="E4" s="29" t="n">
        <v>0.04625</v>
      </c>
      <c r="F4" s="29" t="n">
        <v>0.05</v>
      </c>
    </row>
    <row r="5" customFormat="false" ht="15" hidden="false" customHeight="true" outlineLevel="0" collapsed="false">
      <c r="A5" s="30" t="n">
        <v>0.082</v>
      </c>
      <c r="B5" s="25" t="n">
        <f aca="false">('FCFF Build'!$C$14/(1+$A5)^1+'FCFF Build'!$D$14/(1+$A5)^2+'FCFF Build'!$E$14/(1+$A5)^3+'FCFF Build'!$F$14/(1+$A5)^4+'FCFF Build'!$G$14/(1+$A5)^5+('FCFF Build'!$G$14*(1+B$4)/($A5-B$4))/(1+$A5)^5-'DCF Valuation'!$B$19+'DCF Valuation'!$B$20)/'DCF Valuation'!$B$22</f>
        <v>1170.8532761199</v>
      </c>
      <c r="C5" s="25" t="n">
        <f aca="false">('FCFF Build'!$C$14/(1+$A5)^1+'FCFF Build'!$D$14/(1+$A5)^2+'FCFF Build'!$E$14/(1+$A5)^3+'FCFF Build'!$F$14/(1+$A5)^4+'FCFF Build'!$G$14/(1+$A5)^5+('FCFF Build'!$G$14*(1+C$4)/($A5-C$4))/(1+$A5)^5-'DCF Valuation'!$B$19+'DCF Valuation'!$B$20)/'DCF Valuation'!$B$22</f>
        <v>1254.42620763162</v>
      </c>
      <c r="D5" s="25" t="n">
        <f aca="false">('FCFF Build'!$C$14/(1+$A5)^1+'FCFF Build'!$D$14/(1+$A5)^2+'FCFF Build'!$E$14/(1+$A5)^3+'FCFF Build'!$F$14/(1+$A5)^4+'FCFF Build'!$G$14/(1+$A5)^5+('FCFF Build'!$G$14*(1+D$4)/($A5-D$4))/(1+$A5)^5-'DCF Valuation'!$B$19+'DCF Valuation'!$B$20)/'DCF Valuation'!$B$22</f>
        <v>1353.86741727849</v>
      </c>
      <c r="E5" s="25" t="n">
        <f aca="false">('FCFF Build'!$C$14/(1+$A5)^1+'FCFF Build'!$D$14/(1+$A5)^2+'FCFF Build'!$E$14/(1+$A5)^3+'FCFF Build'!$F$14/(1+$A5)^4+'FCFF Build'!$G$14/(1+$A5)^5+('FCFF Build'!$G$14*(1+E$4)/($A5-E$4))/(1+$A5)^5-'DCF Valuation'!$B$19+'DCF Valuation'!$B$20)/'DCF Valuation'!$B$22</f>
        <v>1474.17041915896</v>
      </c>
      <c r="F5" s="25" t="n">
        <f aca="false">('FCFF Build'!$C$14/(1+$A5)^1+'FCFF Build'!$D$14/(1+$A5)^2+'FCFF Build'!$E$14/(1+$A5)^3+'FCFF Build'!$F$14/(1+$A5)^4+'FCFF Build'!$G$14/(1+$A5)^5+('FCFF Build'!$G$14*(1+F$4)/($A5-F$4))/(1+$A5)^5-'DCF Valuation'!$B$19+'DCF Valuation'!$B$20)/'DCF Valuation'!$B$22</f>
        <v>1622.66943710517</v>
      </c>
    </row>
    <row r="6" customFormat="false" ht="15" hidden="false" customHeight="true" outlineLevel="0" collapsed="false">
      <c r="A6" s="30" t="n">
        <v>0.087</v>
      </c>
      <c r="B6" s="25" t="n">
        <f aca="false">('FCFF Build'!$C$14/(1+$A6)^1+'FCFF Build'!$D$14/(1+$A6)^2+'FCFF Build'!$E$14/(1+$A6)^3+'FCFF Build'!$F$14/(1+$A6)^4+'FCFF Build'!$G$14/(1+$A6)^5+('FCFF Build'!$G$14*(1+B$4)/($A6-B$4))/(1+$A6)^5-'DCF Valuation'!$B$19+'DCF Valuation'!$B$20)/'DCF Valuation'!$B$22</f>
        <v>1060.20098341877</v>
      </c>
      <c r="C6" s="25" t="n">
        <f aca="false">('FCFF Build'!$C$14/(1+$A6)^1+'FCFF Build'!$D$14/(1+$A6)^2+'FCFF Build'!$E$14/(1+$A6)^3+'FCFF Build'!$F$14/(1+$A6)^4+'FCFF Build'!$G$14/(1+$A6)^5+('FCFF Build'!$G$14*(1+C$4)/($A6-C$4))/(1+$A6)^5-'DCF Valuation'!$B$19+'DCF Valuation'!$B$20)/'DCF Valuation'!$B$22</f>
        <v>1126.67314650241</v>
      </c>
      <c r="D6" s="25" t="n">
        <f aca="false">('FCFF Build'!$C$14/(1+$A6)^1+'FCFF Build'!$D$14/(1+$A6)^2+'FCFF Build'!$E$14/(1+$A6)^3+'FCFF Build'!$F$14/(1+$A6)^4+'FCFF Build'!$G$14/(1+$A6)^5+('FCFF Build'!$G$14*(1+D$4)/($A6-D$4))/(1+$A6)^5-'DCF Valuation'!$B$19+'DCF Valuation'!$B$20)/'DCF Valuation'!$B$22</f>
        <v>1204.34848313947</v>
      </c>
      <c r="E6" s="25" t="n">
        <f aca="false">('FCFF Build'!$C$14/(1+$A6)^1+'FCFF Build'!$D$14/(1+$A6)^2+'FCFF Build'!$E$14/(1+$A6)^3+'FCFF Build'!$F$14/(1+$A6)^4+'FCFF Build'!$G$14/(1+$A6)^5+('FCFF Build'!$G$14*(1+E$4)/($A6-E$4))/(1+$A6)^5-'DCF Valuation'!$B$19+'DCF Valuation'!$B$20)/'DCF Valuation'!$B$22</f>
        <v>1296.31989400421</v>
      </c>
      <c r="F6" s="25" t="n">
        <f aca="false">('FCFF Build'!$C$14/(1+$A6)^1+'FCFF Build'!$D$14/(1+$A6)^2+'FCFF Build'!$E$14/(1+$A6)^3+'FCFF Build'!$F$14/(1+$A6)^4+'FCFF Build'!$G$14/(1+$A6)^5+('FCFF Build'!$G$14*(1+F$4)/($A6-F$4))/(1+$A6)^5-'DCF Valuation'!$B$19+'DCF Valuation'!$B$20)/'DCF Valuation'!$B$22</f>
        <v>1406.93415842261</v>
      </c>
    </row>
    <row r="7" customFormat="false" ht="15" hidden="false" customHeight="true" outlineLevel="0" collapsed="false">
      <c r="A7" s="30" t="n">
        <v>0.092</v>
      </c>
      <c r="B7" s="25" t="n">
        <f aca="false">('FCFF Build'!$C$14/(1+$A7)^1+'FCFF Build'!$D$14/(1+$A7)^2+'FCFF Build'!$E$14/(1+$A7)^3+'FCFF Build'!$F$14/(1+$A7)^4+'FCFF Build'!$G$14/(1+$A7)^5+('FCFF Build'!$G$14*(1+B$4)/($A7-B$4))/(1+$A7)^5-'DCF Valuation'!$B$19+'DCF Valuation'!$B$20)/'DCF Valuation'!$B$22</f>
        <v>968.968492730832</v>
      </c>
      <c r="C7" s="25" t="n">
        <f aca="false">('FCFF Build'!$C$14/(1+$A7)^1+'FCFF Build'!$D$14/(1+$A7)^2+'FCFF Build'!$E$14/(1+$A7)^3+'FCFF Build'!$F$14/(1+$A7)^4+'FCFF Build'!$G$14/(1+$A7)^5+('FCFF Build'!$G$14*(1+C$4)/($A7-C$4))/(1+$A7)^5-'DCF Valuation'!$B$19+'DCF Valuation'!$B$20)/'DCF Valuation'!$B$22</f>
        <v>1022.91627895321</v>
      </c>
      <c r="D7" s="25" t="n">
        <f aca="false">('FCFF Build'!$C$14/(1+$A7)^1+'FCFF Build'!$D$14/(1+$A7)^2+'FCFF Build'!$E$14/(1+$A7)^3+'FCFF Build'!$F$14/(1+$A7)^4+'FCFF Build'!$G$14/(1+$A7)^5+('FCFF Build'!$G$14*(1+D$4)/($A7-D$4))/(1+$A7)^5-'DCF Valuation'!$B$19+'DCF Valuation'!$B$20)/'DCF Valuation'!$B$22</f>
        <v>1085.03797217898</v>
      </c>
      <c r="E7" s="25" t="n">
        <f aca="false">('FCFF Build'!$C$14/(1+$A7)^1+'FCFF Build'!$D$14/(1+$A7)^2+'FCFF Build'!$E$14/(1+$A7)^3+'FCFF Build'!$F$14/(1+$A7)^4+'FCFF Build'!$G$14/(1+$A7)^5+('FCFF Build'!$G$14*(1+E$4)/($A7-E$4))/(1+$A7)^5-'DCF Valuation'!$B$19+'DCF Valuation'!$B$20)/'DCF Valuation'!$B$22</f>
        <v>1157.34354954012</v>
      </c>
      <c r="F7" s="25" t="n">
        <f aca="false">('FCFF Build'!$C$14/(1+$A7)^1+'FCFF Build'!$D$14/(1+$A7)^2+'FCFF Build'!$E$14/(1+$A7)^3+'FCFF Build'!$F$14/(1+$A7)^4+'FCFF Build'!$G$14/(1+$A7)^5+('FCFF Build'!$G$14*(1+F$4)/($A7-F$4))/(1+$A7)^5-'DCF Valuation'!$B$19+'DCF Valuation'!$B$20)/'DCF Valuation'!$B$22</f>
        <v>1242.56083714432</v>
      </c>
    </row>
    <row r="8" customFormat="false" ht="15" hidden="false" customHeight="true" outlineLevel="0" collapsed="false">
      <c r="A8" s="30" t="n">
        <v>0.097</v>
      </c>
      <c r="B8" s="25" t="n">
        <f aca="false">('FCFF Build'!$C$14/(1+$A8)^1+'FCFF Build'!$D$14/(1+$A8)^2+'FCFF Build'!$E$14/(1+$A8)^3+'FCFF Build'!$F$14/(1+$A8)^4+'FCFF Build'!$G$14/(1+$A8)^5+('FCFF Build'!$G$14*(1+B$4)/($A8-B$4))/(1+$A8)^5-'DCF Valuation'!$B$19+'DCF Valuation'!$B$20)/'DCF Valuation'!$B$22</f>
        <v>892.457315430714</v>
      </c>
      <c r="C8" s="25" t="n">
        <f aca="false">('FCFF Build'!$C$14/(1+$A8)^1+'FCFF Build'!$D$14/(1+$A8)^2+'FCFF Build'!$E$14/(1+$A8)^3+'FCFF Build'!$F$14/(1+$A8)^4+'FCFF Build'!$G$14/(1+$A8)^5+('FCFF Build'!$G$14*(1+C$4)/($A8-C$4))/(1+$A8)^5-'DCF Valuation'!$B$19+'DCF Valuation'!$B$20)/'DCF Valuation'!$B$22</f>
        <v>936.976225132807</v>
      </c>
      <c r="D8" s="25" t="n">
        <f aca="false">('FCFF Build'!$C$14/(1+$A8)^1+'FCFF Build'!$D$14/(1+$A8)^2+'FCFF Build'!$E$14/(1+$A8)^3+'FCFF Build'!$F$14/(1+$A8)^4+'FCFF Build'!$G$14/(1+$A8)^5+('FCFF Build'!$G$14*(1+D$4)/($A8-D$4))/(1+$A8)^5-'DCF Valuation'!$B$19+'DCF Valuation'!$B$20)/'DCF Valuation'!$B$22</f>
        <v>987.62159029849</v>
      </c>
      <c r="E8" s="25" t="n">
        <f aca="false">('FCFF Build'!$C$14/(1+$A8)^1+'FCFF Build'!$D$14/(1+$A8)^2+'FCFF Build'!$E$14/(1+$A8)^3+'FCFF Build'!$F$14/(1+$A8)^4+'FCFF Build'!$G$14/(1+$A8)^5+('FCFF Build'!$G$14*(1+E$4)/($A8-E$4))/(1+$A8)^5-'DCF Valuation'!$B$19+'DCF Valuation'!$B$20)/'DCF Valuation'!$B$22</f>
        <v>1045.75149218817</v>
      </c>
      <c r="F8" s="25" t="n">
        <f aca="false">('FCFF Build'!$C$14/(1+$A8)^1+'FCFF Build'!$D$14/(1+$A8)^2+'FCFF Build'!$E$14/(1+$A8)^3+'FCFF Build'!$F$14/(1+$A8)^4+'FCFF Build'!$G$14/(1+$A8)^5+('FCFF Build'!$G$14*(1+F$4)/($A8-F$4))/(1+$A8)^5-'DCF Valuation'!$B$19+'DCF Valuation'!$B$20)/'DCF Valuation'!$B$22</f>
        <v>1113.15744225173</v>
      </c>
    </row>
    <row r="9" customFormat="false" ht="15" hidden="false" customHeight="true" outlineLevel="0" collapsed="false">
      <c r="A9" s="30" t="n">
        <v>0.102</v>
      </c>
      <c r="B9" s="25" t="n">
        <f aca="false">('FCFF Build'!$C$14/(1+$A9)^1+'FCFF Build'!$D$14/(1+$A9)^2+'FCFF Build'!$E$14/(1+$A9)^3+'FCFF Build'!$F$14/(1+$A9)^4+'FCFF Build'!$G$14/(1+$A9)^5+('FCFF Build'!$G$14*(1+B$4)/($A9-B$4))/(1+$A9)^5-'DCF Valuation'!$B$19+'DCF Valuation'!$B$20)/'DCF Valuation'!$B$22</f>
        <v>827.371500693295</v>
      </c>
      <c r="C9" s="25" t="n">
        <f aca="false">('FCFF Build'!$C$14/(1+$A9)^1+'FCFF Build'!$D$14/(1+$A9)^2+'FCFF Build'!$E$14/(1+$A9)^3+'FCFF Build'!$F$14/(1+$A9)^4+'FCFF Build'!$G$14/(1+$A9)^5+('FCFF Build'!$G$14*(1+C$4)/($A9-C$4))/(1+$A9)^5-'DCF Valuation'!$B$19+'DCF Valuation'!$B$20)/'DCF Valuation'!$B$22</f>
        <v>864.627561908656</v>
      </c>
      <c r="D9" s="25" t="n">
        <f aca="false">('FCFF Build'!$C$14/(1+$A9)^1+'FCFF Build'!$D$14/(1+$A9)^2+'FCFF Build'!$E$14/(1+$A9)^3+'FCFF Build'!$F$14/(1+$A9)^4+'FCFF Build'!$G$14/(1+$A9)^5+('FCFF Build'!$G$14*(1+D$4)/($A9-D$4))/(1+$A9)^5-'DCF Valuation'!$B$19+'DCF Valuation'!$B$20)/'DCF Valuation'!$B$22</f>
        <v>906.57976529402</v>
      </c>
      <c r="E9" s="25" t="n">
        <f aca="false">('FCFF Build'!$C$14/(1+$A9)^1+'FCFF Build'!$D$14/(1+$A9)^2+'FCFF Build'!$E$14/(1+$A9)^3+'FCFF Build'!$F$14/(1+$A9)^4+'FCFF Build'!$G$14/(1+$A9)^5+('FCFF Build'!$G$14*(1+E$4)/($A9-E$4))/(1+$A9)^5-'DCF Valuation'!$B$19+'DCF Valuation'!$B$20)/'DCF Valuation'!$B$22</f>
        <v>954.175762856787</v>
      </c>
      <c r="F9" s="25" t="n">
        <f aca="false">('FCFF Build'!$C$14/(1+$A9)^1+'FCFF Build'!$D$14/(1+$A9)^2+'FCFF Build'!$E$14/(1+$A9)^3+'FCFF Build'!$F$14/(1+$A9)^4+'FCFF Build'!$G$14/(1+$A9)^5+('FCFF Build'!$G$14*(1+F$4)/($A9-F$4))/(1+$A9)^5-'DCF Valuation'!$B$19+'DCF Valuation'!$B$20)/'DCF Valuation'!$B$22</f>
        <v>1008.63656776034</v>
      </c>
    </row>
    <row r="11" customFormat="false" ht="15" hidden="false" customHeight="true" outlineLevel="0" collapsed="false">
      <c r="A11" s="6" t="s">
        <v>132</v>
      </c>
    </row>
    <row r="12" customFormat="false" ht="15" hidden="false" customHeight="true" outlineLevel="0" collapsed="false">
      <c r="A12" s="6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6"/>
    <col collapsed="false" customWidth="true" hidden="false" outlineLevel="0" max="6" min="6" style="0" width="55"/>
  </cols>
  <sheetData>
    <row r="1" customFormat="false" ht="15" hidden="false" customHeight="true" outlineLevel="0" collapsed="false">
      <c r="A1" s="4" t="s">
        <v>134</v>
      </c>
    </row>
    <row r="2" customFormat="false" ht="15" hidden="false" customHeight="true" outlineLevel="0" collapsed="false">
      <c r="A2" s="31" t="s">
        <v>135</v>
      </c>
    </row>
    <row r="4" customFormat="false" ht="15" hidden="false" customHeight="true" outlineLevel="0" collapsed="false">
      <c r="A4" s="7" t="s">
        <v>136</v>
      </c>
      <c r="B4" s="7" t="s">
        <v>137</v>
      </c>
      <c r="C4" s="7" t="s">
        <v>138</v>
      </c>
      <c r="D4" s="7" t="s">
        <v>139</v>
      </c>
      <c r="E4" s="32"/>
      <c r="F4" s="7" t="s">
        <v>140</v>
      </c>
    </row>
    <row r="5" customFormat="false" ht="15" hidden="false" customHeight="true" outlineLevel="0" collapsed="false">
      <c r="A5" s="4" t="s">
        <v>141</v>
      </c>
      <c r="B5" s="33" t="n">
        <v>48</v>
      </c>
      <c r="C5" s="33" t="n">
        <v>34</v>
      </c>
      <c r="D5" s="3" t="s">
        <v>142</v>
      </c>
      <c r="F5" s="31" t="s">
        <v>143</v>
      </c>
    </row>
    <row r="6" customFormat="false" ht="15" hidden="false" customHeight="true" outlineLevel="0" collapsed="false">
      <c r="A6" s="3" t="s">
        <v>144</v>
      </c>
      <c r="B6" s="33" t="n">
        <v>77.7</v>
      </c>
      <c r="C6" s="33" t="n">
        <v>51</v>
      </c>
      <c r="D6" s="3" t="s">
        <v>145</v>
      </c>
      <c r="F6" s="31" t="s">
        <v>146</v>
      </c>
    </row>
    <row r="7" customFormat="false" ht="15" hidden="false" customHeight="true" outlineLevel="0" collapsed="false">
      <c r="A7" s="3" t="s">
        <v>147</v>
      </c>
      <c r="B7" s="33" t="n">
        <v>41.6</v>
      </c>
      <c r="C7" s="33" t="n">
        <v>28</v>
      </c>
      <c r="D7" s="3" t="s">
        <v>148</v>
      </c>
      <c r="F7" s="31" t="s">
        <v>149</v>
      </c>
    </row>
    <row r="8" customFormat="false" ht="15" hidden="false" customHeight="true" outlineLevel="0" collapsed="false">
      <c r="A8" s="3" t="s">
        <v>150</v>
      </c>
      <c r="B8" s="33" t="n">
        <v>33.8</v>
      </c>
      <c r="C8" s="33" t="n">
        <v>33</v>
      </c>
      <c r="D8" s="3" t="s">
        <v>148</v>
      </c>
      <c r="F8" s="31" t="s">
        <v>151</v>
      </c>
    </row>
    <row r="9" customFormat="false" ht="15" hidden="false" customHeight="true" outlineLevel="0" collapsed="false">
      <c r="A9" s="3" t="s">
        <v>152</v>
      </c>
      <c r="B9" s="33" t="n">
        <v>17.1</v>
      </c>
      <c r="C9" s="33" t="n">
        <v>12.9</v>
      </c>
      <c r="D9" s="3" t="s">
        <v>153</v>
      </c>
      <c r="F9" s="31" t="s">
        <v>154</v>
      </c>
    </row>
    <row r="11" customFormat="false" ht="15" hidden="false" customHeight="true" outlineLevel="0" collapsed="false">
      <c r="A11" s="31" t="s">
        <v>155</v>
      </c>
    </row>
    <row r="12" customFormat="false" ht="15" hidden="false" customHeight="true" outlineLevel="0" collapsed="false">
      <c r="A12" s="31" t="s">
        <v>156</v>
      </c>
    </row>
    <row r="13" customFormat="false" ht="15" hidden="false" customHeight="true" outlineLevel="0" collapsed="false">
      <c r="A13" s="31" t="s">
        <v>157</v>
      </c>
    </row>
    <row r="15" customFormat="false" ht="15" hidden="false" customHeight="true" outlineLevel="0" collapsed="false">
      <c r="A15" s="4" t="s">
        <v>158</v>
      </c>
      <c r="B15" s="34" t="n">
        <f aca="false">MEDIAN(B7,B8)</f>
        <v>37.7</v>
      </c>
    </row>
    <row r="16" customFormat="false" ht="15" hidden="false" customHeight="true" outlineLevel="0" collapsed="false">
      <c r="A16" s="4" t="s">
        <v>159</v>
      </c>
      <c r="B16" s="34" t="n">
        <f aca="false">MEDIAN(C7,C8)</f>
        <v>30.5</v>
      </c>
    </row>
    <row r="18" customFormat="false" ht="15" hidden="false" customHeight="true" outlineLevel="0" collapsed="false">
      <c r="A18" s="35" t="s">
        <v>160</v>
      </c>
      <c r="B18" s="36"/>
      <c r="C18" s="36"/>
      <c r="D18" s="36"/>
    </row>
    <row r="19" customFormat="false" ht="15" hidden="false" customHeight="true" outlineLevel="0" collapsed="false">
      <c r="A19" s="3" t="s">
        <v>161</v>
      </c>
      <c r="B19" s="37" t="n">
        <f aca="false">Historicals!D6+Historicals!D9</f>
        <v>16372</v>
      </c>
    </row>
    <row r="20" customFormat="false" ht="15" hidden="false" customHeight="true" outlineLevel="0" collapsed="false">
      <c r="A20" s="3" t="s">
        <v>162</v>
      </c>
      <c r="B20" s="38" t="n">
        <f aca="false">B16*B19</f>
        <v>499346</v>
      </c>
    </row>
    <row r="21" customFormat="false" ht="15" hidden="false" customHeight="true" outlineLevel="0" collapsed="false">
      <c r="A21" s="3" t="s">
        <v>163</v>
      </c>
      <c r="B21" s="37" t="n">
        <f aca="false">-Assumptions!B11</f>
        <v>-1478</v>
      </c>
    </row>
    <row r="22" customFormat="false" ht="15" hidden="false" customHeight="true" outlineLevel="0" collapsed="false">
      <c r="A22" s="3" t="s">
        <v>164</v>
      </c>
      <c r="B22" s="37" t="n">
        <f aca="false">Historicals!D18</f>
        <v>4359</v>
      </c>
    </row>
    <row r="23" customFormat="false" ht="15" hidden="false" customHeight="true" outlineLevel="0" collapsed="false">
      <c r="A23" s="4" t="s">
        <v>165</v>
      </c>
      <c r="B23" s="21" t="n">
        <f aca="false">B20+B21+B22</f>
        <v>502227</v>
      </c>
    </row>
    <row r="24" customFormat="false" ht="15" hidden="false" customHeight="true" outlineLevel="0" collapsed="false">
      <c r="A24" s="3" t="s">
        <v>125</v>
      </c>
      <c r="B24" s="39" t="n">
        <f aca="false">Historicals!D19</f>
        <v>235</v>
      </c>
    </row>
    <row r="25" customFormat="false" ht="15" hidden="false" customHeight="true" outlineLevel="0" collapsed="false">
      <c r="A25" s="4" t="s">
        <v>166</v>
      </c>
      <c r="B25" s="40" t="n">
        <f aca="false">B23/B24</f>
        <v>2137.13617021277</v>
      </c>
    </row>
    <row r="27" customFormat="false" ht="15" hidden="false" customHeight="true" outlineLevel="0" collapsed="false">
      <c r="A27" s="3" t="s">
        <v>167</v>
      </c>
      <c r="B27" s="38" t="n">
        <f aca="false">Historicals!D6*(1-Assumptions!B9)</f>
        <v>11204.055</v>
      </c>
    </row>
    <row r="28" customFormat="false" ht="15" hidden="false" customHeight="true" outlineLevel="0" collapsed="false">
      <c r="A28" s="31" t="s">
        <v>168</v>
      </c>
    </row>
    <row r="29" customFormat="false" ht="15" hidden="false" customHeight="true" outlineLevel="0" collapsed="false">
      <c r="A29" s="4" t="s">
        <v>169</v>
      </c>
      <c r="B29" s="40" t="n">
        <f aca="false">(B27/B24)*B15</f>
        <v>1797.41648297872</v>
      </c>
    </row>
    <row r="31" customFormat="false" ht="15" hidden="false" customHeight="true" outlineLevel="0" collapsed="false">
      <c r="A31" s="35" t="s">
        <v>170</v>
      </c>
      <c r="B31" s="36"/>
      <c r="C31" s="36"/>
      <c r="D31" s="36"/>
    </row>
    <row r="32" customFormat="false" ht="15" hidden="false" customHeight="true" outlineLevel="0" collapsed="false">
      <c r="A32" s="3" t="s">
        <v>171</v>
      </c>
      <c r="B32" s="41" t="n">
        <f aca="false">'DCF Valuation'!B23</f>
        <v>1087.74973417897</v>
      </c>
    </row>
    <row r="33" customFormat="false" ht="15" hidden="false" customHeight="true" outlineLevel="0" collapsed="false">
      <c r="A33" s="3" t="s">
        <v>172</v>
      </c>
      <c r="B33" s="42" t="n">
        <f aca="false">B25</f>
        <v>2137.13617021277</v>
      </c>
    </row>
    <row r="34" customFormat="false" ht="15" hidden="false" customHeight="true" outlineLevel="0" collapsed="false">
      <c r="A34" s="3" t="s">
        <v>127</v>
      </c>
      <c r="B34" s="41" t="n">
        <f aca="false">'DCF Valuation'!B24</f>
        <v>2170</v>
      </c>
    </row>
    <row r="36" customFormat="false" ht="90" hidden="false" customHeight="true" outlineLevel="0" collapsed="false">
      <c r="A36" s="43" t="s">
        <v>173</v>
      </c>
      <c r="B36" s="43"/>
      <c r="C36" s="43"/>
      <c r="D36" s="43"/>
      <c r="E36" s="43"/>
      <c r="F36" s="43"/>
    </row>
  </sheetData>
  <mergeCells count="1"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2026-07-18T10:06:06Z</dcterms:created>
  <dc:creator>openpyxl</dc:creator>
  <dc:description/>
  <dc:language>en-US</dc:language>
  <cp:lastModifiedBy>Yash Tripathi</cp:lastModifiedBy>
  <dcterms:modified xsi:type="dcterms:W3CDTF">2026-07-19T14:41:39Z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